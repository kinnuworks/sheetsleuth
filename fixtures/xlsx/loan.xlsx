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oan Model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<sst xmlns="http://schemas.openxmlformats.org/spreadsheetml/2006/main" count="11" uniqueCount="11">
  <si>
    <t xml:space="preserve">Loan rate-band lookup</t>
  </si>
  <si>
    <t xml:space="preserve">Borrower rate</t>
  </si>
  <si>
    <t xml:space="preserve">Rate threshold</t>
  </si>
  <si>
    <t xml:space="preserve">Interest factor</t>
  </si>
  <si>
    <t xml:space="preserve">Band</t>
  </si>
  <si>
    <t xml:space="preserve">low</t>
  </si>
  <si>
    <t xml:space="preserve">high</t>
  </si>
  <si>
    <t xml:space="preserve">middle</t>
  </si>
  <si>
    <t xml:space="preserve">top</t>
  </si>
  <si>
    <t xml:space="preserve">Approximate band</t>
  </si>
  <si>
    <t xml:space="preserve">Applied factor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</si>
</sst>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  <row r="3" customFormat="false" ht="12.8" hidden="false" customHeight="false" outlineLevel="0" collapsed="false">
      <c r="A3" s="0" t="s">
        <v>1</v>
      </c>
      <c r="B3" s="0" t="n">
        <v>0.06</v>
      </c>
    </row>
    <row r="5" customFormat="false" ht="12.8" hidden="false" customHeight="false" outlineLevel="0" collapsed="false">
      <c r="A5" s="0" t="s">
        <v>2</v>
      </c>
      <c r="B5" s="0" t="s">
        <v>3</v>
      </c>
      <c r="C5" s="0" t="s">
        <v>4</v>
      </c>
    </row>
    <row r="6" customFormat="false" ht="12.8" hidden="false" customHeight="false" outlineLevel="0" collapsed="false">
      <c r="A6" s="0" t="n">
        <v>0.02</v>
      </c>
      <c r="B6" s="0" t="n">
        <v>1.1</v>
      </c>
      <c r="C6" s="0" t="s">
        <v>5</v>
      </c>
    </row>
    <row r="7" customFormat="false" ht="12.8" hidden="false" customHeight="false" outlineLevel="0" collapsed="false">
      <c r="A7" s="0" t="n">
        <v>0.08</v>
      </c>
      <c r="B7" s="0" t="n">
        <v>1.5</v>
      </c>
      <c r="C7" s="0" t="s">
        <v>6</v>
      </c>
    </row>
    <row r="8" customFormat="false" ht="12.8" hidden="false" customHeight="false" outlineLevel="0" collapsed="false">
      <c r="A8" s="0" t="n">
        <v>0.05</v>
      </c>
      <c r="B8" s="0" t="n">
        <v>1.25</v>
      </c>
      <c r="C8" s="0" t="s">
        <v>7</v>
      </c>
    </row>
    <row r="9" customFormat="false" ht="12.8" hidden="false" customHeight="false" outlineLevel="0" collapsed="false">
      <c r="A9" s="0" t="n">
        <v>0.11</v>
      </c>
      <c r="B9" s="0" t="n">
        <v>1.8</v>
      </c>
      <c r="C9" s="0" t="s">
        <v>8</v>
      </c>
    </row>
    <row r="11" customFormat="false" ht="12.8" hidden="false" customHeight="false" outlineLevel="0" collapsed="false">
      <c r="A11" s="0" t="s">
        <v>9</v>
      </c>
      <c r="B11" s="0" t="str">
        <f aca="false">VLOOKUP(B3,A6:C9,3,TRUE())</f>
        <v>low</v>
      </c>
    </row>
    <row r="12" customFormat="false" ht="12.8" hidden="false" customHeight="false" outlineLevel="0" collapsed="false">
      <c r="A12" s="0" t="s">
        <v>10</v>
      </c>
      <c r="B12" s="0" t="n">
        <f aca="false">VLOOKUP(B3,A6:C9,2,TRUE())</f>
        <v>1.1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LibreOffice/7.4.7.2$Linux_AARCH64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